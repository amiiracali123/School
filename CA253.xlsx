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"/>
    </mc:Choice>
  </mc:AlternateContent>
  <xr:revisionPtr revIDLastSave="0" documentId="8_{49116331-5714-1F42-B6DA-D0041593490A}" xr6:coauthVersionLast="47" xr6:coauthVersionMax="47" xr10:uidLastSave="{00000000-0000-0000-0000-000000000000}"/>
  <bookViews>
    <workbookView xWindow="0" yWindow="0" windowWidth="33600" windowHeight="21000" activeTab="1" xr2:uid="{380A5AC3-EF75-404C-B950-14C0D66017F0}"/>
  </bookViews>
  <sheets>
    <sheet name="Student info" sheetId="2" r:id="rId1"/>
    <sheet name="Attendance Rate" sheetId="4" r:id="rId2"/>
  </sheets>
  <definedNames>
    <definedName name="_xlnm._FilterDatabase" localSheetId="1" hidden="1">'Attendance Rate'!$J$2:$J$14</definedName>
    <definedName name="_xlchart.v1.0" hidden="1">'Attendance Rate'!$B$6</definedName>
    <definedName name="_xlchart.v1.1" hidden="1">'Attendance Rate'!$J$2:$K$6</definedName>
    <definedName name="_xlchart.v1.10" hidden="1">'Attendance Rate'!$J$2:$K$6</definedName>
    <definedName name="_xlchart.v1.11" hidden="1">'Attendance Rate'!$J$6:$K$6</definedName>
    <definedName name="_xlchart.v1.2" hidden="1">'Attendance Rate'!$J$6:$K$6</definedName>
    <definedName name="_xlchart.v1.3" hidden="1">'Attendance Rate'!$B$6</definedName>
    <definedName name="_xlchart.v1.4" hidden="1">'Attendance Rate'!$J$2:$K$6</definedName>
    <definedName name="_xlchart.v1.5" hidden="1">'Attendance Rate'!$J$6:$K$6</definedName>
    <definedName name="_xlchart.v1.6" hidden="1">'Attendance Rate'!$B$6</definedName>
    <definedName name="_xlchart.v1.7" hidden="1">'Attendance Rate'!$J$2:$K$6</definedName>
    <definedName name="_xlchart.v1.8" hidden="1">'Attendance Rate'!$J$6:$K$6</definedName>
    <definedName name="_xlchart.v1.9" hidden="1">'Attendance Rate'!$B$6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3" i="2"/>
  <c r="I3" i="2"/>
  <c r="I10" i="4"/>
  <c r="J10" i="4" s="1"/>
  <c r="K10" i="4" s="1"/>
  <c r="I5" i="4"/>
  <c r="J5" i="4" s="1"/>
  <c r="K5" i="4" s="1"/>
  <c r="I6" i="4"/>
  <c r="J6" i="4" s="1"/>
  <c r="K6" i="4" s="1"/>
  <c r="I3" i="4"/>
  <c r="J3" i="4" s="1"/>
  <c r="K3" i="4" s="1"/>
  <c r="I13" i="4"/>
  <c r="J13" i="4" s="1"/>
  <c r="K13" i="4" s="1"/>
  <c r="I8" i="4"/>
  <c r="J8" i="4" s="1"/>
  <c r="K8" i="4" s="1"/>
  <c r="I11" i="4"/>
  <c r="J11" i="4" s="1"/>
  <c r="K11" i="4" s="1"/>
  <c r="I4" i="4"/>
  <c r="J4" i="4" s="1"/>
  <c r="K4" i="4" s="1"/>
  <c r="I14" i="4"/>
  <c r="J14" i="4" s="1"/>
  <c r="K14" i="4" s="1"/>
  <c r="I9" i="4"/>
  <c r="J9" i="4" s="1"/>
  <c r="K9" i="4" s="1"/>
  <c r="I12" i="4"/>
  <c r="J12" i="4" s="1"/>
  <c r="K12" i="4" s="1"/>
  <c r="I7" i="4"/>
  <c r="J7" i="4" s="1"/>
  <c r="K7" i="4" s="1"/>
  <c r="H5" i="4"/>
  <c r="H6" i="4"/>
  <c r="H3" i="4"/>
  <c r="H13" i="4"/>
  <c r="H8" i="4"/>
  <c r="H11" i="4"/>
  <c r="H4" i="4"/>
  <c r="H14" i="4"/>
  <c r="H9" i="4"/>
  <c r="H12" i="4"/>
  <c r="H10" i="4"/>
  <c r="H7" i="4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3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5" i="2"/>
  <c r="J4" i="2"/>
  <c r="J3" i="2"/>
  <c r="I18" i="2"/>
  <c r="M18" i="2" s="1"/>
  <c r="H5" i="2"/>
  <c r="I5" i="2" s="1"/>
  <c r="M5" i="2" s="1"/>
  <c r="H6" i="2"/>
  <c r="I6" i="2" s="1"/>
  <c r="M6" i="2" s="1"/>
  <c r="H7" i="2"/>
  <c r="I7" i="2" s="1"/>
  <c r="M7" i="2" s="1"/>
  <c r="H8" i="2"/>
  <c r="I8" i="2" s="1"/>
  <c r="M8" i="2" s="1"/>
  <c r="H9" i="2"/>
  <c r="I9" i="2" s="1"/>
  <c r="M9" i="2" s="1"/>
  <c r="H10" i="2"/>
  <c r="I10" i="2" s="1"/>
  <c r="M10" i="2" s="1"/>
  <c r="H11" i="2"/>
  <c r="I11" i="2" s="1"/>
  <c r="M11" i="2" s="1"/>
  <c r="H12" i="2"/>
  <c r="I12" i="2" s="1"/>
  <c r="M12" i="2" s="1"/>
  <c r="H13" i="2"/>
  <c r="I13" i="2" s="1"/>
  <c r="M13" i="2" s="1"/>
  <c r="H14" i="2"/>
  <c r="I14" i="2" s="1"/>
  <c r="M14" i="2" s="1"/>
  <c r="H15" i="2"/>
  <c r="I15" i="2" s="1"/>
  <c r="M15" i="2" s="1"/>
  <c r="H16" i="2"/>
  <c r="I16" i="2" s="1"/>
  <c r="M16" i="2" s="1"/>
  <c r="H17" i="2"/>
  <c r="I17" i="2" s="1"/>
  <c r="M17" i="2" s="1"/>
  <c r="H18" i="2"/>
  <c r="H4" i="2"/>
  <c r="I4" i="2" s="1"/>
  <c r="H3" i="2"/>
</calcChain>
</file>

<file path=xl/sharedStrings.xml><?xml version="1.0" encoding="utf-8"?>
<sst xmlns="http://schemas.openxmlformats.org/spreadsheetml/2006/main" count="147" uniqueCount="62">
  <si>
    <t>Abdi</t>
  </si>
  <si>
    <t>Maryan</t>
  </si>
  <si>
    <t>ID</t>
  </si>
  <si>
    <t xml:space="preserve">Student name </t>
  </si>
  <si>
    <t>CA</t>
  </si>
  <si>
    <t>python</t>
  </si>
  <si>
    <t>SS</t>
  </si>
  <si>
    <t>C125001</t>
  </si>
  <si>
    <t>C125002</t>
  </si>
  <si>
    <t>C125003</t>
  </si>
  <si>
    <t>C125004</t>
  </si>
  <si>
    <t>C125005</t>
  </si>
  <si>
    <t>C125006</t>
  </si>
  <si>
    <t>C125007</t>
  </si>
  <si>
    <t>C125008</t>
  </si>
  <si>
    <t>C125009</t>
  </si>
  <si>
    <t>C125010</t>
  </si>
  <si>
    <t>C125011</t>
  </si>
  <si>
    <t>C125012</t>
  </si>
  <si>
    <t>C125013</t>
  </si>
  <si>
    <t>C125014</t>
  </si>
  <si>
    <t>C125015</t>
  </si>
  <si>
    <t>C125016</t>
  </si>
  <si>
    <t>Mohamed</t>
  </si>
  <si>
    <t>English</t>
  </si>
  <si>
    <t>Arabic</t>
  </si>
  <si>
    <t>Zahra</t>
  </si>
  <si>
    <t>Fatima</t>
  </si>
  <si>
    <t>Nur</t>
  </si>
  <si>
    <t>Sadam</t>
  </si>
  <si>
    <t>Ayub</t>
  </si>
  <si>
    <t>Khalid</t>
  </si>
  <si>
    <t>Mursal</t>
  </si>
  <si>
    <t>Muna</t>
  </si>
  <si>
    <t>Malyun</t>
  </si>
  <si>
    <t>Mumin</t>
  </si>
  <si>
    <t>Gedi</t>
  </si>
  <si>
    <t>Hashi</t>
  </si>
  <si>
    <t>Khadija</t>
  </si>
  <si>
    <t>Total</t>
  </si>
  <si>
    <t>Average</t>
  </si>
  <si>
    <t>minimun mark</t>
  </si>
  <si>
    <t>Maximun mark</t>
  </si>
  <si>
    <t>Grade</t>
  </si>
  <si>
    <t>Result</t>
  </si>
  <si>
    <t>Student marks calculation</t>
  </si>
  <si>
    <t>Column3</t>
  </si>
  <si>
    <t>Std name</t>
  </si>
  <si>
    <t>Tota</t>
  </si>
  <si>
    <t>Attendance Rate</t>
  </si>
  <si>
    <t xml:space="preserve">STD name </t>
  </si>
  <si>
    <t>Day1</t>
  </si>
  <si>
    <t>Day2</t>
  </si>
  <si>
    <t>Day3</t>
  </si>
  <si>
    <t>Day4</t>
  </si>
  <si>
    <t>Day5</t>
  </si>
  <si>
    <t>P</t>
  </si>
  <si>
    <t>A</t>
  </si>
  <si>
    <t>TOTAL P</t>
  </si>
  <si>
    <t>TOTAL A</t>
  </si>
  <si>
    <t>AVG</t>
  </si>
  <si>
    <t>HIGH/LOW ABSENTISM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</si>
</sst>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8" borderId="0" applyNumberFormat="0" applyBorder="0" applyAlignment="0" applyProtection="0"/>
  </cellStyleXfs>
  <cellXfs count="15">
    <xf numFmtId="0" fontId="0" fillId="0" borderId="0" xfId="0"/>
    <xf numFmtId="1" fontId="0" fillId="0" borderId="0" xfId="0" applyNumberFormat="1"/>
    <xf numFmtId="0" fontId="3" fillId="2" borderId="0" xfId="2" applyAlignment="1">
      <alignment horizontal="center" vertical="center"/>
    </xf>
    <xf numFmtId="0" fontId="5" fillId="5" borderId="0" xfId="5" applyFont="1" applyAlignment="1">
      <alignment horizontal="center"/>
    </xf>
    <xf numFmtId="0" fontId="1" fillId="4" borderId="0" xfId="4"/>
    <xf numFmtId="0" fontId="1" fillId="3" borderId="0" xfId="3"/>
    <xf numFmtId="0" fontId="1" fillId="6" borderId="0" xfId="6"/>
    <xf numFmtId="0" fontId="1" fillId="4" borderId="0" xfId="4" applyAlignment="1">
      <alignment textRotation="45"/>
    </xf>
    <xf numFmtId="0" fontId="1" fillId="3" borderId="0" xfId="3" applyAlignment="1">
      <alignment textRotation="45"/>
    </xf>
    <xf numFmtId="0" fontId="1" fillId="6" borderId="0" xfId="6" applyAlignment="1">
      <alignment textRotation="45"/>
    </xf>
    <xf numFmtId="0" fontId="2" fillId="0" borderId="0" xfId="0" applyFont="1" applyAlignment="1">
      <alignment textRotation="45"/>
    </xf>
    <xf numFmtId="9" fontId="0" fillId="0" borderId="0" xfId="1" applyFont="1"/>
    <xf numFmtId="0" fontId="6" fillId="7" borderId="1" xfId="7" applyFont="1" applyBorder="1" applyAlignment="1">
      <alignment horizontal="center" vertical="center"/>
    </xf>
    <xf numFmtId="0" fontId="1" fillId="8" borderId="1" xfId="8" applyBorder="1"/>
    <xf numFmtId="9" fontId="1" fillId="8" borderId="1" xfId="8" applyNumberFormat="1" applyBorder="1"/>
  </cellXfs>
  <cellStyles count="9">
    <cellStyle name="20% - Accent4" xfId="3" builtinId="42"/>
    <cellStyle name="40% - Accent4" xfId="4" builtinId="43"/>
    <cellStyle name="40% - Accent6" xfId="8" builtinId="51"/>
    <cellStyle name="60% - Accent4" xfId="5" builtinId="44"/>
    <cellStyle name="60% - Accent5" xfId="6" builtinId="48"/>
    <cellStyle name="Accent1" xfId="2" builtinId="29"/>
    <cellStyle name="Accent6" xfId="7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7E5A78-888C-9143-882E-57666B216E18}" name="Table1" displayName="Table1" ref="A22:D29" totalsRowShown="0">
  <autoFilter ref="A22:D29" xr:uid="{BF7E5A78-888C-9143-882E-57666B216E18}"/>
  <tableColumns count="4">
    <tableColumn id="1" xr3:uid="{BFF3D9BB-0378-3049-9E5C-2537F83BA06C}" name="ID"/>
    <tableColumn id="2" xr3:uid="{F0A5F0B8-85A2-D348-AB95-980EF88C6310}" name="Std name"/>
    <tableColumn id="3" xr3:uid="{E0DA32A9-D060-304A-AE74-268303D2477E}" name="Tota"/>
    <tableColumn id="4" xr3:uid="{A5F989CE-BC56-8343-9D99-615A4A65AF57}" name="Column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92AB-DF39-444A-B4FE-D8FC57CCBFFC}">
  <dimension ref="A1:M22"/>
  <sheetViews>
    <sheetView topLeftCell="E1" zoomScale="150" zoomScaleNormal="150" workbookViewId="0">
      <selection activeCell="M5" sqref="M5"/>
    </sheetView>
  </sheetViews>
  <sheetFormatPr baseColWidth="10" defaultRowHeight="16" x14ac:dyDescent="0.2"/>
  <cols>
    <col min="1" max="1" width="11.83203125" customWidth="1"/>
    <col min="2" max="2" width="13.5" bestFit="1" customWidth="1"/>
    <col min="10" max="10" width="13.6640625" customWidth="1"/>
    <col min="11" max="12" width="14.83203125" customWidth="1"/>
  </cols>
  <sheetData>
    <row r="1" spans="1:13" ht="38" customHeight="1" x14ac:dyDescent="0.2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</row>
    <row r="2" spans="1:13" s="10" customFormat="1" ht="68" x14ac:dyDescent="0.2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24</v>
      </c>
      <c r="G2" s="8" t="s">
        <v>25</v>
      </c>
      <c r="H2" s="9" t="s">
        <v>39</v>
      </c>
      <c r="I2" s="10" t="s">
        <v>40</v>
      </c>
      <c r="J2" s="10" t="s">
        <v>41</v>
      </c>
      <c r="K2" s="10" t="s">
        <v>42</v>
      </c>
      <c r="L2" s="10" t="s">
        <v>43</v>
      </c>
      <c r="M2" s="10" t="s">
        <v>44</v>
      </c>
    </row>
    <row r="3" spans="1:13" x14ac:dyDescent="0.2">
      <c r="A3" s="4" t="s">
        <v>7</v>
      </c>
      <c r="B3" s="5" t="s">
        <v>0</v>
      </c>
      <c r="C3" s="5">
        <v>50</v>
      </c>
      <c r="D3" s="5">
        <v>50</v>
      </c>
      <c r="E3" s="5">
        <v>70</v>
      </c>
      <c r="F3" s="5">
        <v>40</v>
      </c>
      <c r="G3" s="5">
        <v>100</v>
      </c>
      <c r="H3" s="6">
        <f>SUM(C3:G3)</f>
        <v>310</v>
      </c>
      <c r="I3">
        <f>AVERAGE(H3/5)</f>
        <v>62</v>
      </c>
      <c r="J3">
        <f>MIN(C3:G3)</f>
        <v>40</v>
      </c>
      <c r="K3">
        <f>MAX(C3:G3)</f>
        <v>100</v>
      </c>
      <c r="M3" t="str">
        <f>IF(I3&gt;=50,"Pass","Fail")</f>
        <v>Pass</v>
      </c>
    </row>
    <row r="4" spans="1:13" x14ac:dyDescent="0.2">
      <c r="A4" s="4" t="s">
        <v>8</v>
      </c>
      <c r="B4" s="5" t="s">
        <v>23</v>
      </c>
      <c r="C4" s="5">
        <v>50</v>
      </c>
      <c r="D4" s="5">
        <v>70</v>
      </c>
      <c r="E4" s="5">
        <v>70</v>
      </c>
      <c r="F4" s="5">
        <v>40</v>
      </c>
      <c r="G4" s="5">
        <v>90</v>
      </c>
      <c r="H4" s="6">
        <f>SUM(C4:G4)</f>
        <v>320</v>
      </c>
      <c r="I4">
        <f t="shared" ref="I4:I18" si="0">AVERAGE(H4/5)</f>
        <v>64</v>
      </c>
      <c r="J4">
        <f>MIN(C4:G4)</f>
        <v>40</v>
      </c>
      <c r="K4">
        <f t="shared" ref="K4:K18" si="1">MAX(C4:G4)</f>
        <v>90</v>
      </c>
      <c r="M4" t="str">
        <f>IF(I4&gt;=50,"Pass","Fail")</f>
        <v>Pass</v>
      </c>
    </row>
    <row r="5" spans="1:13" x14ac:dyDescent="0.2">
      <c r="A5" s="4" t="s">
        <v>9</v>
      </c>
      <c r="B5" s="5" t="s">
        <v>26</v>
      </c>
      <c r="C5" s="5">
        <v>50</v>
      </c>
      <c r="D5" s="5">
        <v>60</v>
      </c>
      <c r="E5" s="5">
        <v>10</v>
      </c>
      <c r="F5" s="5">
        <v>100</v>
      </c>
      <c r="G5" s="5">
        <v>80</v>
      </c>
      <c r="H5" s="6">
        <f t="shared" ref="H5:H18" si="2">SUM(C5:G5)</f>
        <v>300</v>
      </c>
      <c r="I5" s="1">
        <f t="shared" si="0"/>
        <v>60</v>
      </c>
      <c r="J5">
        <f>MIN(C5:G5)</f>
        <v>10</v>
      </c>
      <c r="K5">
        <f t="shared" si="1"/>
        <v>100</v>
      </c>
      <c r="M5" t="str">
        <f>IF(I5&gt;=50,"Pass","Fail")</f>
        <v>Pass</v>
      </c>
    </row>
    <row r="6" spans="1:13" x14ac:dyDescent="0.2">
      <c r="A6" s="4" t="s">
        <v>10</v>
      </c>
      <c r="B6" s="5" t="s">
        <v>27</v>
      </c>
      <c r="C6" s="5">
        <v>50</v>
      </c>
      <c r="D6" s="5">
        <v>77</v>
      </c>
      <c r="E6" s="5">
        <v>70</v>
      </c>
      <c r="F6" s="5">
        <v>40</v>
      </c>
      <c r="G6" s="5">
        <v>100</v>
      </c>
      <c r="H6" s="6">
        <f t="shared" si="2"/>
        <v>337</v>
      </c>
      <c r="I6" s="1">
        <f t="shared" si="0"/>
        <v>67.400000000000006</v>
      </c>
      <c r="J6">
        <f t="shared" ref="J6:J18" si="3">MIN(C6:G6)</f>
        <v>40</v>
      </c>
      <c r="K6">
        <f t="shared" si="1"/>
        <v>100</v>
      </c>
      <c r="M6" t="str">
        <f t="shared" ref="M4:M18" si="4">IF(I6&gt;=50,"Pass","Fail")</f>
        <v>Pass</v>
      </c>
    </row>
    <row r="7" spans="1:13" x14ac:dyDescent="0.2">
      <c r="A7" s="4" t="s">
        <v>11</v>
      </c>
      <c r="B7" s="5" t="s">
        <v>1</v>
      </c>
      <c r="C7" s="5">
        <v>68</v>
      </c>
      <c r="D7" s="5">
        <v>50</v>
      </c>
      <c r="E7" s="5">
        <v>70</v>
      </c>
      <c r="F7" s="5">
        <v>40</v>
      </c>
      <c r="G7" s="5">
        <v>90</v>
      </c>
      <c r="H7" s="6">
        <f t="shared" si="2"/>
        <v>318</v>
      </c>
      <c r="I7" s="1">
        <f t="shared" si="0"/>
        <v>63.6</v>
      </c>
      <c r="J7">
        <f t="shared" si="3"/>
        <v>40</v>
      </c>
      <c r="K7">
        <f t="shared" si="1"/>
        <v>90</v>
      </c>
      <c r="M7" t="str">
        <f t="shared" si="4"/>
        <v>Pass</v>
      </c>
    </row>
    <row r="8" spans="1:13" x14ac:dyDescent="0.2">
      <c r="A8" s="4" t="s">
        <v>12</v>
      </c>
      <c r="B8" s="5" t="s">
        <v>28</v>
      </c>
      <c r="C8" s="5">
        <v>50</v>
      </c>
      <c r="D8" s="5">
        <v>50</v>
      </c>
      <c r="E8" s="5">
        <v>70</v>
      </c>
      <c r="F8" s="5">
        <v>40</v>
      </c>
      <c r="G8" s="5">
        <v>95</v>
      </c>
      <c r="H8" s="6">
        <f t="shared" si="2"/>
        <v>305</v>
      </c>
      <c r="I8" s="1">
        <f t="shared" si="0"/>
        <v>61</v>
      </c>
      <c r="J8">
        <f t="shared" si="3"/>
        <v>40</v>
      </c>
      <c r="K8">
        <f t="shared" si="1"/>
        <v>95</v>
      </c>
      <c r="M8" t="str">
        <f t="shared" si="4"/>
        <v>Pass</v>
      </c>
    </row>
    <row r="9" spans="1:13" x14ac:dyDescent="0.2">
      <c r="A9" s="4" t="s">
        <v>13</v>
      </c>
      <c r="B9" s="5" t="s">
        <v>29</v>
      </c>
      <c r="C9" s="5">
        <v>50</v>
      </c>
      <c r="D9" s="5">
        <v>30</v>
      </c>
      <c r="E9" s="5">
        <v>70</v>
      </c>
      <c r="F9" s="5">
        <v>40</v>
      </c>
      <c r="G9" s="5">
        <v>100</v>
      </c>
      <c r="H9" s="6">
        <f t="shared" si="2"/>
        <v>290</v>
      </c>
      <c r="I9" s="1">
        <f t="shared" si="0"/>
        <v>58</v>
      </c>
      <c r="J9">
        <f t="shared" si="3"/>
        <v>30</v>
      </c>
      <c r="K9">
        <f t="shared" si="1"/>
        <v>100</v>
      </c>
      <c r="M9" t="str">
        <f t="shared" si="4"/>
        <v>Pass</v>
      </c>
    </row>
    <row r="10" spans="1:13" x14ac:dyDescent="0.2">
      <c r="A10" s="4" t="s">
        <v>14</v>
      </c>
      <c r="B10" s="5" t="s">
        <v>30</v>
      </c>
      <c r="C10" s="5">
        <v>50</v>
      </c>
      <c r="D10" s="5">
        <v>50</v>
      </c>
      <c r="E10" s="5">
        <v>70</v>
      </c>
      <c r="F10" s="5">
        <v>40</v>
      </c>
      <c r="G10" s="5">
        <v>30</v>
      </c>
      <c r="H10" s="6">
        <f t="shared" si="2"/>
        <v>240</v>
      </c>
      <c r="I10" s="1">
        <f t="shared" si="0"/>
        <v>48</v>
      </c>
      <c r="J10">
        <f t="shared" si="3"/>
        <v>30</v>
      </c>
      <c r="K10">
        <f t="shared" si="1"/>
        <v>70</v>
      </c>
      <c r="M10" t="str">
        <f t="shared" si="4"/>
        <v>Fail</v>
      </c>
    </row>
    <row r="11" spans="1:13" x14ac:dyDescent="0.2">
      <c r="A11" s="4" t="s">
        <v>15</v>
      </c>
      <c r="B11" s="5" t="s">
        <v>31</v>
      </c>
      <c r="C11" s="5">
        <v>50</v>
      </c>
      <c r="D11" s="5">
        <v>50</v>
      </c>
      <c r="E11" s="5">
        <v>40</v>
      </c>
      <c r="F11" s="5">
        <v>57</v>
      </c>
      <c r="G11" s="5">
        <v>55</v>
      </c>
      <c r="H11" s="6">
        <f t="shared" si="2"/>
        <v>252</v>
      </c>
      <c r="I11" s="1">
        <f t="shared" si="0"/>
        <v>50.4</v>
      </c>
      <c r="J11">
        <f t="shared" si="3"/>
        <v>40</v>
      </c>
      <c r="K11">
        <f t="shared" si="1"/>
        <v>57</v>
      </c>
      <c r="M11" t="str">
        <f t="shared" si="4"/>
        <v>Pass</v>
      </c>
    </row>
    <row r="12" spans="1:13" x14ac:dyDescent="0.2">
      <c r="A12" s="4" t="s">
        <v>16</v>
      </c>
      <c r="B12" s="5" t="s">
        <v>32</v>
      </c>
      <c r="C12" s="5">
        <v>50</v>
      </c>
      <c r="D12" s="5">
        <v>50</v>
      </c>
      <c r="E12" s="5">
        <v>66</v>
      </c>
      <c r="F12" s="5">
        <v>40</v>
      </c>
      <c r="G12" s="5">
        <v>22</v>
      </c>
      <c r="H12" s="6">
        <f t="shared" si="2"/>
        <v>228</v>
      </c>
      <c r="I12" s="1">
        <f t="shared" si="0"/>
        <v>45.6</v>
      </c>
      <c r="J12">
        <f t="shared" si="3"/>
        <v>22</v>
      </c>
      <c r="K12">
        <f t="shared" si="1"/>
        <v>66</v>
      </c>
      <c r="M12" t="str">
        <f t="shared" si="4"/>
        <v>Fail</v>
      </c>
    </row>
    <row r="13" spans="1:13" x14ac:dyDescent="0.2">
      <c r="A13" s="4" t="s">
        <v>17</v>
      </c>
      <c r="B13" s="5" t="s">
        <v>33</v>
      </c>
      <c r="C13" s="5">
        <v>50</v>
      </c>
      <c r="D13" s="5">
        <v>50</v>
      </c>
      <c r="E13" s="5">
        <v>70</v>
      </c>
      <c r="F13" s="5">
        <v>20</v>
      </c>
      <c r="G13" s="5">
        <v>100</v>
      </c>
      <c r="H13" s="6">
        <f t="shared" si="2"/>
        <v>290</v>
      </c>
      <c r="I13" s="1">
        <f t="shared" si="0"/>
        <v>58</v>
      </c>
      <c r="J13">
        <f t="shared" si="3"/>
        <v>20</v>
      </c>
      <c r="K13">
        <f t="shared" si="1"/>
        <v>100</v>
      </c>
      <c r="M13" t="str">
        <f t="shared" si="4"/>
        <v>Pass</v>
      </c>
    </row>
    <row r="14" spans="1:13" x14ac:dyDescent="0.2">
      <c r="A14" s="4" t="s">
        <v>18</v>
      </c>
      <c r="B14" s="5" t="s">
        <v>34</v>
      </c>
      <c r="C14" s="5">
        <v>49</v>
      </c>
      <c r="D14" s="5">
        <v>50</v>
      </c>
      <c r="E14" s="5">
        <v>70</v>
      </c>
      <c r="F14" s="5">
        <v>40</v>
      </c>
      <c r="G14" s="5">
        <v>70</v>
      </c>
      <c r="H14" s="6">
        <f t="shared" si="2"/>
        <v>279</v>
      </c>
      <c r="I14" s="1">
        <f t="shared" si="0"/>
        <v>55.8</v>
      </c>
      <c r="J14">
        <f t="shared" si="3"/>
        <v>40</v>
      </c>
      <c r="K14">
        <f t="shared" si="1"/>
        <v>70</v>
      </c>
      <c r="M14" t="str">
        <f t="shared" si="4"/>
        <v>Pass</v>
      </c>
    </row>
    <row r="15" spans="1:13" x14ac:dyDescent="0.2">
      <c r="A15" s="4" t="s">
        <v>19</v>
      </c>
      <c r="B15" s="5" t="s">
        <v>35</v>
      </c>
      <c r="C15" s="5">
        <v>50</v>
      </c>
      <c r="D15" s="5">
        <v>20</v>
      </c>
      <c r="E15" s="5">
        <v>70</v>
      </c>
      <c r="F15" s="5">
        <v>40</v>
      </c>
      <c r="G15" s="5">
        <v>20</v>
      </c>
      <c r="H15" s="6">
        <f t="shared" si="2"/>
        <v>200</v>
      </c>
      <c r="I15" s="1">
        <f t="shared" si="0"/>
        <v>40</v>
      </c>
      <c r="J15">
        <f t="shared" si="3"/>
        <v>20</v>
      </c>
      <c r="K15">
        <f t="shared" si="1"/>
        <v>70</v>
      </c>
      <c r="M15" t="str">
        <f t="shared" si="4"/>
        <v>Fail</v>
      </c>
    </row>
    <row r="16" spans="1:13" x14ac:dyDescent="0.2">
      <c r="A16" s="4" t="s">
        <v>20</v>
      </c>
      <c r="B16" s="5" t="s">
        <v>36</v>
      </c>
      <c r="C16" s="5">
        <v>50</v>
      </c>
      <c r="D16" s="5">
        <v>45</v>
      </c>
      <c r="E16" s="5">
        <v>70</v>
      </c>
      <c r="F16" s="5">
        <v>40</v>
      </c>
      <c r="G16" s="5">
        <v>100</v>
      </c>
      <c r="H16" s="6">
        <f t="shared" si="2"/>
        <v>305</v>
      </c>
      <c r="I16" s="1">
        <f t="shared" si="0"/>
        <v>61</v>
      </c>
      <c r="J16">
        <f t="shared" si="3"/>
        <v>40</v>
      </c>
      <c r="K16">
        <f t="shared" si="1"/>
        <v>100</v>
      </c>
      <c r="M16" t="str">
        <f t="shared" si="4"/>
        <v>Pass</v>
      </c>
    </row>
    <row r="17" spans="1:13" x14ac:dyDescent="0.2">
      <c r="A17" s="4" t="s">
        <v>21</v>
      </c>
      <c r="B17" s="5" t="s">
        <v>37</v>
      </c>
      <c r="C17" s="5">
        <v>50</v>
      </c>
      <c r="D17" s="5">
        <v>50</v>
      </c>
      <c r="E17" s="5">
        <v>68</v>
      </c>
      <c r="F17" s="5">
        <v>40</v>
      </c>
      <c r="G17" s="5">
        <v>49</v>
      </c>
      <c r="H17" s="6">
        <f t="shared" si="2"/>
        <v>257</v>
      </c>
      <c r="I17" s="1">
        <f t="shared" si="0"/>
        <v>51.4</v>
      </c>
      <c r="J17">
        <f t="shared" si="3"/>
        <v>40</v>
      </c>
      <c r="K17">
        <f t="shared" si="1"/>
        <v>68</v>
      </c>
      <c r="M17" t="str">
        <f t="shared" si="4"/>
        <v>Pass</v>
      </c>
    </row>
    <row r="18" spans="1:13" x14ac:dyDescent="0.2">
      <c r="A18" s="4" t="s">
        <v>22</v>
      </c>
      <c r="B18" s="5" t="s">
        <v>38</v>
      </c>
      <c r="C18" s="5">
        <v>50</v>
      </c>
      <c r="D18" s="5">
        <v>50</v>
      </c>
      <c r="E18" s="5">
        <v>70</v>
      </c>
      <c r="F18" s="5">
        <v>40</v>
      </c>
      <c r="G18" s="5">
        <v>100</v>
      </c>
      <c r="H18" s="6">
        <f t="shared" si="2"/>
        <v>310</v>
      </c>
      <c r="I18" s="1">
        <f t="shared" si="0"/>
        <v>62</v>
      </c>
      <c r="J18">
        <f t="shared" si="3"/>
        <v>40</v>
      </c>
      <c r="K18">
        <f t="shared" si="1"/>
        <v>100</v>
      </c>
      <c r="M18" t="str">
        <f t="shared" si="4"/>
        <v>Pass</v>
      </c>
    </row>
    <row r="20" spans="1:13" ht="26" x14ac:dyDescent="0.3">
      <c r="A20" s="3" t="s">
        <v>45</v>
      </c>
      <c r="B20" s="3"/>
      <c r="C20" s="3"/>
      <c r="D20" s="3"/>
      <c r="E20" s="3"/>
      <c r="F20" s="3"/>
      <c r="G20" s="3"/>
    </row>
    <row r="22" spans="1:13" x14ac:dyDescent="0.2">
      <c r="A22" t="s">
        <v>2</v>
      </c>
      <c r="B22" t="s">
        <v>47</v>
      </c>
      <c r="C22" t="s">
        <v>48</v>
      </c>
      <c r="D22" t="s">
        <v>46</v>
      </c>
    </row>
  </sheetData>
  <mergeCells count="2">
    <mergeCell ref="A1:J1"/>
    <mergeCell ref="A20:G20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C61E-689D-2445-BC09-D763DC98E623}">
  <sheetPr filterMode="1">
    <tabColor theme="5"/>
  </sheetPr>
  <dimension ref="A1:K14"/>
  <sheetViews>
    <sheetView tabSelected="1" zoomScale="162" workbookViewId="0">
      <selection activeCell="J18" sqref="J18"/>
    </sheetView>
  </sheetViews>
  <sheetFormatPr baseColWidth="10" defaultRowHeight="16" x14ac:dyDescent="0.2"/>
  <cols>
    <col min="10" max="10" width="12.1640625" bestFit="1" customWidth="1"/>
    <col min="11" max="11" width="20.6640625" bestFit="1" customWidth="1"/>
  </cols>
  <sheetData>
    <row r="1" spans="1:11" ht="56" customHeight="1" x14ac:dyDescent="0.2">
      <c r="A1" s="12" t="s">
        <v>49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9" customHeight="1" x14ac:dyDescent="0.2">
      <c r="A2" s="13" t="s">
        <v>2</v>
      </c>
      <c r="B2" s="13" t="s">
        <v>50</v>
      </c>
      <c r="C2" s="13" t="s">
        <v>51</v>
      </c>
      <c r="D2" s="13" t="s">
        <v>52</v>
      </c>
      <c r="E2" s="13" t="s">
        <v>53</v>
      </c>
      <c r="F2" s="13" t="s">
        <v>54</v>
      </c>
      <c r="G2" s="13" t="s">
        <v>55</v>
      </c>
      <c r="H2" s="13" t="s">
        <v>58</v>
      </c>
      <c r="I2" s="13" t="s">
        <v>59</v>
      </c>
      <c r="J2" s="13" t="s">
        <v>60</v>
      </c>
      <c r="K2" s="13" t="s">
        <v>61</v>
      </c>
    </row>
    <row r="3" spans="1:11" x14ac:dyDescent="0.2">
      <c r="A3" s="13" t="s">
        <v>11</v>
      </c>
      <c r="B3" s="13" t="s">
        <v>1</v>
      </c>
      <c r="C3" s="13" t="s">
        <v>57</v>
      </c>
      <c r="D3" s="13" t="s">
        <v>57</v>
      </c>
      <c r="E3" s="13" t="s">
        <v>57</v>
      </c>
      <c r="F3" s="13" t="s">
        <v>57</v>
      </c>
      <c r="G3" s="13" t="s">
        <v>57</v>
      </c>
      <c r="H3" s="13">
        <f>COUNTIF(C3:G3,"P")</f>
        <v>0</v>
      </c>
      <c r="I3" s="13">
        <f>COUNTIF(C3:G3,"A")</f>
        <v>5</v>
      </c>
      <c r="J3" s="14">
        <f>I3/5</f>
        <v>1</v>
      </c>
      <c r="K3" s="13" t="str">
        <f>IF(J3&gt;=25%,"Hight Absent","low absent")</f>
        <v>Hight Absent</v>
      </c>
    </row>
    <row r="4" spans="1:11" x14ac:dyDescent="0.2">
      <c r="A4" s="13" t="s">
        <v>15</v>
      </c>
      <c r="B4" s="13" t="s">
        <v>31</v>
      </c>
      <c r="C4" s="13" t="s">
        <v>57</v>
      </c>
      <c r="D4" s="13" t="s">
        <v>57</v>
      </c>
      <c r="E4" s="13" t="s">
        <v>57</v>
      </c>
      <c r="F4" s="13" t="s">
        <v>57</v>
      </c>
      <c r="G4" s="13" t="s">
        <v>57</v>
      </c>
      <c r="H4" s="13">
        <f>COUNTIF(C4:G4,"P")</f>
        <v>0</v>
      </c>
      <c r="I4" s="13">
        <f>COUNTIF(C4:G4,"A")</f>
        <v>5</v>
      </c>
      <c r="J4" s="14">
        <f>I4/5</f>
        <v>1</v>
      </c>
      <c r="K4" s="13" t="str">
        <f>IF(J4&gt;=25%,"Hight Absent","low absent")</f>
        <v>Hight Absent</v>
      </c>
    </row>
    <row r="5" spans="1:11" x14ac:dyDescent="0.2">
      <c r="A5" s="13" t="s">
        <v>9</v>
      </c>
      <c r="B5" s="13" t="s">
        <v>26</v>
      </c>
      <c r="C5" s="13" t="s">
        <v>56</v>
      </c>
      <c r="D5" s="13" t="s">
        <v>57</v>
      </c>
      <c r="E5" s="13" t="s">
        <v>57</v>
      </c>
      <c r="F5" s="13" t="s">
        <v>57</v>
      </c>
      <c r="G5" s="13" t="s">
        <v>57</v>
      </c>
      <c r="H5" s="13">
        <f>COUNTIF(C5:G5,"P")</f>
        <v>1</v>
      </c>
      <c r="I5" s="13">
        <f>COUNTIF(C5:G5,"A")</f>
        <v>4</v>
      </c>
      <c r="J5" s="14">
        <f>I5/5</f>
        <v>0.8</v>
      </c>
      <c r="K5" s="13" t="str">
        <f>IF(J5&gt;=25%,"Hight Absent","low absent")</f>
        <v>Hight Absent</v>
      </c>
    </row>
    <row r="6" spans="1:11" x14ac:dyDescent="0.2">
      <c r="A6" s="13" t="s">
        <v>10</v>
      </c>
      <c r="B6" s="13" t="s">
        <v>27</v>
      </c>
      <c r="C6" s="13" t="s">
        <v>56</v>
      </c>
      <c r="D6" s="13" t="s">
        <v>57</v>
      </c>
      <c r="E6" s="13" t="s">
        <v>57</v>
      </c>
      <c r="F6" s="13" t="s">
        <v>57</v>
      </c>
      <c r="G6" s="13" t="s">
        <v>56</v>
      </c>
      <c r="H6" s="13">
        <f>COUNTIF(C6:G6,"P")</f>
        <v>2</v>
      </c>
      <c r="I6" s="13">
        <f>COUNTIF(C6:G6,"A")</f>
        <v>3</v>
      </c>
      <c r="J6" s="14">
        <f>I6/5</f>
        <v>0.6</v>
      </c>
      <c r="K6" s="13" t="str">
        <f>IF(J6&gt;=25%,"Hight Absent","low absent")</f>
        <v>Hight Absent</v>
      </c>
    </row>
    <row r="7" spans="1:11" hidden="1" x14ac:dyDescent="0.2">
      <c r="A7" s="4" t="s">
        <v>7</v>
      </c>
      <c r="B7" s="5" t="s">
        <v>0</v>
      </c>
      <c r="C7" t="s">
        <v>56</v>
      </c>
      <c r="D7" t="s">
        <v>57</v>
      </c>
      <c r="E7" t="s">
        <v>56</v>
      </c>
      <c r="F7" t="s">
        <v>57</v>
      </c>
      <c r="G7" t="s">
        <v>56</v>
      </c>
      <c r="H7">
        <f>COUNTIF(C7:G7,"P")</f>
        <v>3</v>
      </c>
      <c r="I7">
        <f>COUNTIF(C7:G7,"A")</f>
        <v>2</v>
      </c>
      <c r="J7" s="11">
        <f>I7/5</f>
        <v>0.4</v>
      </c>
      <c r="K7" t="str">
        <f>IF(J7&gt;=25%,"Hight Absent","low absent")</f>
        <v>Hight Absent</v>
      </c>
    </row>
    <row r="8" spans="1:11" hidden="1" x14ac:dyDescent="0.2">
      <c r="A8" s="4" t="s">
        <v>13</v>
      </c>
      <c r="B8" s="5" t="s">
        <v>29</v>
      </c>
      <c r="C8" t="s">
        <v>57</v>
      </c>
      <c r="D8" t="s">
        <v>57</v>
      </c>
      <c r="E8" t="s">
        <v>56</v>
      </c>
      <c r="F8" t="s">
        <v>56</v>
      </c>
      <c r="G8" t="s">
        <v>56</v>
      </c>
      <c r="H8">
        <f>COUNTIF(C8:G8,"P")</f>
        <v>3</v>
      </c>
      <c r="I8">
        <f>COUNTIF(C8:G8,"A")</f>
        <v>2</v>
      </c>
      <c r="J8" s="11">
        <f>I8/5</f>
        <v>0.4</v>
      </c>
      <c r="K8" t="str">
        <f>IF(J8&gt;=25%,"Hight Absent","low absent")</f>
        <v>Hight Absent</v>
      </c>
    </row>
    <row r="9" spans="1:11" hidden="1" x14ac:dyDescent="0.2">
      <c r="A9" s="4" t="s">
        <v>17</v>
      </c>
      <c r="B9" s="5" t="s">
        <v>33</v>
      </c>
      <c r="C9" t="s">
        <v>57</v>
      </c>
      <c r="D9" t="s">
        <v>57</v>
      </c>
      <c r="E9" t="s">
        <v>56</v>
      </c>
      <c r="F9" t="s">
        <v>56</v>
      </c>
      <c r="G9" t="s">
        <v>56</v>
      </c>
      <c r="H9">
        <f>COUNTIF(C9:G9,"P")</f>
        <v>3</v>
      </c>
      <c r="I9">
        <f>COUNTIF(C9:G9,"A")</f>
        <v>2</v>
      </c>
      <c r="J9" s="11">
        <f>I9/5</f>
        <v>0.4</v>
      </c>
      <c r="K9" t="str">
        <f>IF(J9&gt;=25%,"Hight Absent","low absent")</f>
        <v>Hight Absent</v>
      </c>
    </row>
    <row r="10" spans="1:11" hidden="1" x14ac:dyDescent="0.2">
      <c r="A10" s="4" t="s">
        <v>8</v>
      </c>
      <c r="B10" s="5" t="s">
        <v>23</v>
      </c>
      <c r="C10" t="s">
        <v>56</v>
      </c>
      <c r="D10" t="s">
        <v>56</v>
      </c>
      <c r="E10" t="s">
        <v>56</v>
      </c>
      <c r="F10" t="s">
        <v>56</v>
      </c>
      <c r="G10" t="s">
        <v>57</v>
      </c>
      <c r="H10">
        <f>COUNTIF(C10:G10,"P")</f>
        <v>4</v>
      </c>
      <c r="I10">
        <f>COUNTIF(C10:G10,"A")</f>
        <v>1</v>
      </c>
      <c r="J10" s="11">
        <f>I10/5</f>
        <v>0.2</v>
      </c>
      <c r="K10" t="str">
        <f>IF(J10&gt;=25%,"Hight Absent","low absent")</f>
        <v>low absent</v>
      </c>
    </row>
    <row r="11" spans="1:11" hidden="1" x14ac:dyDescent="0.2">
      <c r="A11" s="4" t="s">
        <v>14</v>
      </c>
      <c r="B11" s="5" t="s">
        <v>30</v>
      </c>
      <c r="C11" t="s">
        <v>56</v>
      </c>
      <c r="D11" t="s">
        <v>57</v>
      </c>
      <c r="E11" t="s">
        <v>56</v>
      </c>
      <c r="F11" t="s">
        <v>56</v>
      </c>
      <c r="G11" t="s">
        <v>56</v>
      </c>
      <c r="H11">
        <f>COUNTIF(C11:G11,"P")</f>
        <v>4</v>
      </c>
      <c r="I11">
        <f>COUNTIF(C11:G11,"A")</f>
        <v>1</v>
      </c>
      <c r="J11" s="11">
        <f>I11/5</f>
        <v>0.2</v>
      </c>
      <c r="K11" t="str">
        <f>IF(J11&gt;=25%,"Hight Absent","low absent")</f>
        <v>low absent</v>
      </c>
    </row>
    <row r="12" spans="1:11" hidden="1" x14ac:dyDescent="0.2">
      <c r="A12" s="4" t="s">
        <v>18</v>
      </c>
      <c r="B12" s="5" t="s">
        <v>34</v>
      </c>
      <c r="C12" t="s">
        <v>56</v>
      </c>
      <c r="D12" t="s">
        <v>57</v>
      </c>
      <c r="E12" t="s">
        <v>56</v>
      </c>
      <c r="F12" t="s">
        <v>56</v>
      </c>
      <c r="G12" t="s">
        <v>56</v>
      </c>
      <c r="H12">
        <f>COUNTIF(C12:G12,"P")</f>
        <v>4</v>
      </c>
      <c r="I12">
        <f>COUNTIF(C12:G12,"A")</f>
        <v>1</v>
      </c>
      <c r="J12" s="11">
        <f>I12/5</f>
        <v>0.2</v>
      </c>
      <c r="K12" t="str">
        <f>IF(J12&gt;=25%,"Hight Absent","low absent")</f>
        <v>low absent</v>
      </c>
    </row>
    <row r="13" spans="1:11" hidden="1" x14ac:dyDescent="0.2">
      <c r="A13" s="4" t="s">
        <v>12</v>
      </c>
      <c r="B13" s="5" t="s">
        <v>28</v>
      </c>
      <c r="C13" t="s">
        <v>56</v>
      </c>
      <c r="D13" t="s">
        <v>56</v>
      </c>
      <c r="E13" t="s">
        <v>56</v>
      </c>
      <c r="F13" t="s">
        <v>56</v>
      </c>
      <c r="G13" t="s">
        <v>56</v>
      </c>
      <c r="H13">
        <f>COUNTIF(C13:G13,"P")</f>
        <v>5</v>
      </c>
      <c r="I13">
        <f>COUNTIF(C13:G13,"A")</f>
        <v>0</v>
      </c>
      <c r="J13" s="11">
        <f>I13/5</f>
        <v>0</v>
      </c>
      <c r="K13" t="str">
        <f>IF(J13&gt;=25%,"Hight Absent","low absent")</f>
        <v>low absent</v>
      </c>
    </row>
    <row r="14" spans="1:11" hidden="1" x14ac:dyDescent="0.2">
      <c r="A14" s="4" t="s">
        <v>16</v>
      </c>
      <c r="B14" s="5" t="s">
        <v>32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>
        <f>COUNTIF(C14:G14,"P")</f>
        <v>5</v>
      </c>
      <c r="I14">
        <f>COUNTIF(C14:G14,"A")</f>
        <v>0</v>
      </c>
      <c r="J14" s="11">
        <f>I14/5</f>
        <v>0</v>
      </c>
      <c r="K14" t="str">
        <f>IF(J14&gt;=25%,"Hight Absent","low absent")</f>
        <v>low absent</v>
      </c>
    </row>
  </sheetData>
  <autoFilter ref="J2:J14" xr:uid="{7C46C61E-689D-2445-BC09-D763DC98E623}">
    <filterColumn colId="0">
      <filters>
        <filter val="100%"/>
        <filter val="60%"/>
        <filter val="80%"/>
      </filters>
    </filterColumn>
  </autoFilter>
  <sortState xmlns:xlrd2="http://schemas.microsoft.com/office/spreadsheetml/2017/richdata2" ref="A3:K14">
    <sortCondition descending="1" ref="J3:J14"/>
  </sortState>
  <mergeCells count="1">
    <mergeCell ref="A1:K1"/>
  </mergeCells>
  <phoneticPr fontId="4" type="noConversion"/>
  <conditionalFormatting sqref="K2:K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{2A8F51DC-2D06-694E-A907-B2D92078B43A}</x14:id>
        </ext>
      </extLst>
    </cfRule>
  </conditionalFormatting>
  <conditionalFormatting sqref="K3:K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8F51DC-2D06-694E-A907-B2D92078B4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info</vt:lpstr>
      <vt:lpstr>Attendance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2026-01-12T04:39:32Z</dcterms:created>
  <dcterms:modified xsi:type="dcterms:W3CDTF">2026-01-13T10:27:49Z</dcterms:modified>
</cp:coreProperties>
</file>